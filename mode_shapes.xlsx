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7835" activeTab="2"/>
  </bookViews>
  <sheets>
    <sheet name="Mode_Shapes_B1" sheetId="2" r:id="rId1"/>
    <sheet name="Mode_Shapes_B2" sheetId="3" r:id="rId2"/>
    <sheet name="Mode_Shapes_B3" sheetId="1" r:id="rId3"/>
  </sheets>
  <externalReferences>
    <externalReference r:id="rId4"/>
    <externalReference r:id="rId5"/>
    <externalReference r:id="rId6"/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<sst xmlns="http://schemas.openxmlformats.org/spreadsheetml/2006/main" count="102" uniqueCount="30">
  <si>
    <t>Turbine 1</t>
  </si>
  <si>
    <t>Mode1</t>
  </si>
  <si>
    <t>Mode2</t>
  </si>
  <si>
    <t>Mode3</t>
  </si>
  <si>
    <t>Mode4</t>
  </si>
  <si>
    <t>Mode5</t>
  </si>
  <si>
    <t>Mode6</t>
  </si>
  <si>
    <t>Mode7</t>
  </si>
  <si>
    <t>Mode8</t>
  </si>
  <si>
    <t>B1_root_edge</t>
  </si>
  <si>
    <t>B1_root_span</t>
  </si>
  <si>
    <t>B1_root_flap</t>
  </si>
  <si>
    <t>B1_tip_edge</t>
  </si>
  <si>
    <t>B1_tip_span</t>
  </si>
  <si>
    <t>B1_tip_flap</t>
  </si>
  <si>
    <t>Natural Frequency</t>
  </si>
  <si>
    <t>Damping Ratio</t>
  </si>
  <si>
    <t>Turbine 2</t>
  </si>
  <si>
    <t>B2_root_edge</t>
  </si>
  <si>
    <t>B2_root_span</t>
  </si>
  <si>
    <t>B2_root_flap</t>
  </si>
  <si>
    <t>B2_tip_edge</t>
  </si>
  <si>
    <t>B2_tip_span</t>
  </si>
  <si>
    <t>B2_tip_flap</t>
  </si>
  <si>
    <t>B3_root_edge</t>
  </si>
  <si>
    <t>B3_root_span</t>
  </si>
  <si>
    <t>B3_root_flap</t>
  </si>
  <si>
    <t>B3_tip_edge</t>
  </si>
  <si>
    <t>B3_tip_span</t>
  </si>
  <si>
    <t>B3_tip_flap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</si>
</sst>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/>
    <xf numFmtId="0" fontId="1" fillId="0" borderId="0" xfId="0" applyFont="1"/>
    <xf numFmtId="0" fontId="1" fillId="0" borderId="0" xfId="0" applyFont="1" applyFill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7" Type="http://schemas.openxmlformats.org/officeDocument/2006/relationships/externalLink" Target="externalLinks/externalLink4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_frequencies_damping_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_frequencies_damping_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_frequencies_damping_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_frequencies_damping_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_frequencies_damping_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atFreq_Damping_2"/>
    </sheetNames>
    <sheetDataSet>
      <sheetData sheetId="0">
        <row r="2">
          <cell r="D2">
            <v>0.206</v>
          </cell>
          <cell r="E2">
            <v>0.003</v>
          </cell>
        </row>
        <row r="3">
          <cell r="D3">
            <v>0.206</v>
          </cell>
          <cell r="E3">
            <v>0.003</v>
          </cell>
        </row>
        <row r="4">
          <cell r="D4">
            <v>0.2103</v>
          </cell>
          <cell r="E4">
            <v>0.0293</v>
          </cell>
        </row>
        <row r="5">
          <cell r="D5">
            <v>0.2103</v>
          </cell>
          <cell r="E5">
            <v>0.0293</v>
          </cell>
        </row>
        <row r="6">
          <cell r="D6">
            <v>0.1766</v>
          </cell>
          <cell r="E6">
            <v>0.0133</v>
          </cell>
        </row>
        <row r="7">
          <cell r="D7">
            <v>0.1766</v>
          </cell>
          <cell r="E7">
            <v>0.0133</v>
          </cell>
        </row>
        <row r="8">
          <cell r="D8">
            <v>0.0085</v>
          </cell>
          <cell r="E8">
            <v>0.2744</v>
          </cell>
        </row>
        <row r="9">
          <cell r="D9">
            <v>0.0085</v>
          </cell>
          <cell r="E9">
            <v>0.2744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atFreq_Damping_3"/>
    </sheetNames>
    <sheetDataSet>
      <sheetData sheetId="0">
        <row r="2">
          <cell r="D2">
            <v>0.206</v>
          </cell>
          <cell r="E2">
            <v>0.0016</v>
          </cell>
        </row>
        <row r="3">
          <cell r="D3">
            <v>0.206</v>
          </cell>
          <cell r="E3">
            <v>0.0016</v>
          </cell>
        </row>
        <row r="4">
          <cell r="D4">
            <v>0.2119</v>
          </cell>
          <cell r="E4">
            <v>0.019</v>
          </cell>
        </row>
        <row r="5">
          <cell r="D5">
            <v>0.2119</v>
          </cell>
          <cell r="E5">
            <v>0.019</v>
          </cell>
        </row>
        <row r="6">
          <cell r="D6">
            <v>0.1804</v>
          </cell>
          <cell r="E6">
            <v>0.0399</v>
          </cell>
        </row>
        <row r="7">
          <cell r="D7">
            <v>0.1804</v>
          </cell>
          <cell r="E7">
            <v>0.0399</v>
          </cell>
        </row>
        <row r="8">
          <cell r="D8">
            <v>0.0082</v>
          </cell>
          <cell r="E8">
            <v>0.2733</v>
          </cell>
        </row>
        <row r="9">
          <cell r="D9">
            <v>0.0082</v>
          </cell>
          <cell r="E9">
            <v>0.2733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atFreq_Damping_4"/>
    </sheetNames>
    <sheetDataSet>
      <sheetData sheetId="0">
        <row r="2">
          <cell r="D2">
            <v>0.2227</v>
          </cell>
          <cell r="E2">
            <v>0.0007</v>
          </cell>
        </row>
        <row r="3">
          <cell r="D3">
            <v>0.2227</v>
          </cell>
          <cell r="E3">
            <v>0.0007</v>
          </cell>
        </row>
        <row r="4">
          <cell r="D4">
            <v>0.2072</v>
          </cell>
          <cell r="E4">
            <v>0.0039</v>
          </cell>
        </row>
        <row r="5">
          <cell r="D5">
            <v>0.2072</v>
          </cell>
          <cell r="E5">
            <v>0.0039</v>
          </cell>
        </row>
        <row r="6">
          <cell r="D6">
            <v>0.2147</v>
          </cell>
          <cell r="E6">
            <v>0.0039</v>
          </cell>
        </row>
        <row r="7">
          <cell r="D7">
            <v>0.2147</v>
          </cell>
          <cell r="E7">
            <v>0.0039</v>
          </cell>
        </row>
        <row r="8">
          <cell r="D8">
            <v>0.0041</v>
          </cell>
          <cell r="E8">
            <v>0.1677</v>
          </cell>
        </row>
        <row r="9">
          <cell r="D9">
            <v>0.0041</v>
          </cell>
          <cell r="E9">
            <v>0.1677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atFreq_Damping_5"/>
    </sheetNames>
    <sheetDataSet>
      <sheetData sheetId="0">
        <row r="2">
          <cell r="D2">
            <v>0.2226</v>
          </cell>
          <cell r="E2">
            <v>0.0016</v>
          </cell>
        </row>
        <row r="3">
          <cell r="D3">
            <v>0.2226</v>
          </cell>
          <cell r="E3">
            <v>0.0016</v>
          </cell>
        </row>
        <row r="4">
          <cell r="D4">
            <v>0.2071</v>
          </cell>
          <cell r="E4">
            <v>0.0038</v>
          </cell>
        </row>
        <row r="5">
          <cell r="D5">
            <v>0.2071</v>
          </cell>
          <cell r="E5">
            <v>0.0038</v>
          </cell>
        </row>
        <row r="6">
          <cell r="D6">
            <v>0.2142</v>
          </cell>
          <cell r="E6">
            <v>0.004</v>
          </cell>
        </row>
        <row r="7">
          <cell r="D7">
            <v>0.2142</v>
          </cell>
          <cell r="E7">
            <v>0.004</v>
          </cell>
        </row>
        <row r="8">
          <cell r="D8">
            <v>0.0039</v>
          </cell>
          <cell r="E8">
            <v>0.0971</v>
          </cell>
        </row>
        <row r="9">
          <cell r="D9">
            <v>0.0039</v>
          </cell>
          <cell r="E9">
            <v>0.0971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atFreq_Damping_6"/>
    </sheetNames>
    <sheetDataSet>
      <sheetData sheetId="0">
        <row r="2">
          <cell r="D2">
            <v>0.2058</v>
          </cell>
          <cell r="E2">
            <v>0.0027</v>
          </cell>
        </row>
        <row r="3">
          <cell r="D3">
            <v>0.2058</v>
          </cell>
          <cell r="E3">
            <v>0.0027</v>
          </cell>
        </row>
        <row r="4">
          <cell r="D4">
            <v>0.2103</v>
          </cell>
          <cell r="E4">
            <v>0.0227</v>
          </cell>
        </row>
        <row r="5">
          <cell r="D5">
            <v>0.2103</v>
          </cell>
          <cell r="E5">
            <v>0.0227</v>
          </cell>
        </row>
        <row r="6">
          <cell r="D6">
            <v>0.179</v>
          </cell>
          <cell r="E6">
            <v>0.0236</v>
          </cell>
        </row>
        <row r="7">
          <cell r="D7">
            <v>0.179</v>
          </cell>
          <cell r="E7">
            <v>0.0236</v>
          </cell>
        </row>
        <row r="8">
          <cell r="D8">
            <v>0.0096</v>
          </cell>
          <cell r="E8">
            <v>0.3011</v>
          </cell>
        </row>
        <row r="9">
          <cell r="D9">
            <v>0.0096</v>
          </cell>
          <cell r="E9">
            <v>0.3011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D25" sqref="D25"/>
    </sheetView>
  </sheetViews>
  <sheetFormatPr defaultColWidth="8.88888888888889" defaultRowHeight="14.4"/>
  <cols>
    <col min="1" max="1" width="1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9</v>
      </c>
      <c r="B2" s="4">
        <v>0.076</v>
      </c>
      <c r="C2" s="4">
        <v>0.076</v>
      </c>
      <c r="D2" s="4">
        <v>0.661</v>
      </c>
      <c r="E2" s="4">
        <v>0.661</v>
      </c>
      <c r="F2" s="4">
        <v>-0.369</v>
      </c>
      <c r="G2" s="4">
        <v>-0.369</v>
      </c>
      <c r="H2" s="4">
        <v>-0.067</v>
      </c>
      <c r="I2" s="4">
        <v>-0.067</v>
      </c>
    </row>
    <row r="3" spans="1:9">
      <c r="A3" s="3" t="s">
        <v>10</v>
      </c>
      <c r="B3" s="4">
        <v>-0.991</v>
      </c>
      <c r="C3" s="4">
        <v>-0.991</v>
      </c>
      <c r="D3" s="4">
        <v>0.675</v>
      </c>
      <c r="E3" s="4">
        <v>0.675</v>
      </c>
      <c r="F3" s="4">
        <v>-0.934</v>
      </c>
      <c r="G3" s="4">
        <v>-0.934</v>
      </c>
      <c r="H3" s="4">
        <v>-0.159</v>
      </c>
      <c r="I3" s="4">
        <v>-0.159</v>
      </c>
    </row>
    <row r="4" spans="1:9">
      <c r="A4" s="3" t="s">
        <v>11</v>
      </c>
      <c r="B4" s="4">
        <v>-0.132</v>
      </c>
      <c r="C4" s="4">
        <v>-0.132</v>
      </c>
      <c r="D4" s="4">
        <v>-0.325</v>
      </c>
      <c r="E4" s="4">
        <v>-0.325</v>
      </c>
      <c r="F4" s="4">
        <v>0.082</v>
      </c>
      <c r="G4" s="4">
        <v>0.082</v>
      </c>
      <c r="H4" s="4">
        <v>0.058</v>
      </c>
      <c r="I4" s="4">
        <v>0.058</v>
      </c>
    </row>
    <row r="5" spans="1:9">
      <c r="A5" s="3" t="s">
        <v>12</v>
      </c>
      <c r="B5" s="4">
        <v>0.075</v>
      </c>
      <c r="C5" s="4">
        <v>0.075</v>
      </c>
      <c r="D5" s="4">
        <v>0.667</v>
      </c>
      <c r="E5" s="4">
        <v>0.667</v>
      </c>
      <c r="F5" s="4">
        <v>-0.37</v>
      </c>
      <c r="G5" s="4">
        <v>-0.37</v>
      </c>
      <c r="H5" s="4">
        <v>-0.11</v>
      </c>
      <c r="I5" s="4">
        <v>-0.11</v>
      </c>
    </row>
    <row r="6" spans="1:9">
      <c r="A6" s="3" t="s">
        <v>13</v>
      </c>
      <c r="B6" s="4">
        <v>-0.947</v>
      </c>
      <c r="C6" s="4">
        <v>-0.947</v>
      </c>
      <c r="D6" s="4">
        <v>0.615</v>
      </c>
      <c r="E6" s="4">
        <v>0.615</v>
      </c>
      <c r="F6" s="4">
        <v>-0.88</v>
      </c>
      <c r="G6" s="4">
        <v>-0.88</v>
      </c>
      <c r="H6" s="4">
        <v>-0.966</v>
      </c>
      <c r="I6" s="4">
        <v>-0.966</v>
      </c>
    </row>
    <row r="7" spans="1:9">
      <c r="A7" s="3" t="s">
        <v>14</v>
      </c>
      <c r="B7" s="4">
        <v>-0.062</v>
      </c>
      <c r="C7" s="4">
        <v>-0.062</v>
      </c>
      <c r="D7" s="4">
        <v>-0.323</v>
      </c>
      <c r="E7" s="4">
        <v>-0.323</v>
      </c>
      <c r="F7" s="4">
        <v>0.116</v>
      </c>
      <c r="G7" s="4">
        <v>0.116</v>
      </c>
      <c r="H7" s="4">
        <v>0.004</v>
      </c>
      <c r="I7" s="4">
        <v>0.004</v>
      </c>
    </row>
    <row r="8" spans="1:9">
      <c r="A8" s="2" t="s">
        <v>15</v>
      </c>
      <c r="B8" s="4" cm="1">
        <f t="array" ref="B8:I9">TRANSPOSE([3]NatFreq_Damping_4!D2:E9)</f>
        <v>0.2227</v>
      </c>
      <c r="C8" s="4">
        <v>0.2227</v>
      </c>
      <c r="D8" s="4">
        <v>0.2072</v>
      </c>
      <c r="E8" s="4">
        <v>0.2072</v>
      </c>
      <c r="F8" s="4">
        <v>0.2147</v>
      </c>
      <c r="G8" s="4">
        <v>0.2147</v>
      </c>
      <c r="H8" s="4">
        <v>0.0041</v>
      </c>
      <c r="I8" s="4">
        <v>0.0041</v>
      </c>
    </row>
    <row r="9" spans="1:9">
      <c r="A9" s="2" t="s">
        <v>16</v>
      </c>
      <c r="B9" s="4">
        <v>0.0007</v>
      </c>
      <c r="C9" s="4">
        <v>0.0007</v>
      </c>
      <c r="D9" s="4">
        <v>0.0039</v>
      </c>
      <c r="E9" s="4">
        <v>0.0039</v>
      </c>
      <c r="F9" s="4">
        <v>0.0039</v>
      </c>
      <c r="G9" s="4">
        <v>0.0039</v>
      </c>
      <c r="H9" s="4">
        <v>0.1677</v>
      </c>
      <c r="I9" s="4">
        <v>0.1677</v>
      </c>
    </row>
    <row r="12" spans="1:9">
      <c r="A12" s="1" t="s">
        <v>17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>
      <c r="A13" s="2" t="s">
        <v>9</v>
      </c>
      <c r="B13">
        <v>0.325</v>
      </c>
      <c r="C13">
        <v>0.325</v>
      </c>
      <c r="D13">
        <v>-0.512</v>
      </c>
      <c r="E13">
        <v>-0.512</v>
      </c>
      <c r="F13">
        <v>-0.007</v>
      </c>
      <c r="G13">
        <v>-0.007</v>
      </c>
      <c r="H13">
        <v>0.063</v>
      </c>
      <c r="I13">
        <v>0.063</v>
      </c>
    </row>
    <row r="14" spans="1:9">
      <c r="A14" s="2" t="s">
        <v>10</v>
      </c>
      <c r="B14">
        <v>-0.919</v>
      </c>
      <c r="C14">
        <v>-0.919</v>
      </c>
      <c r="D14">
        <v>-0.829</v>
      </c>
      <c r="E14">
        <v>-0.829</v>
      </c>
      <c r="F14">
        <v>1</v>
      </c>
      <c r="G14">
        <v>1</v>
      </c>
      <c r="H14">
        <v>0.145</v>
      </c>
      <c r="I14">
        <v>0.145</v>
      </c>
    </row>
    <row r="15" spans="1:9">
      <c r="A15" s="2" t="s">
        <v>11</v>
      </c>
      <c r="B15">
        <v>-0.278</v>
      </c>
      <c r="C15">
        <v>-0.278</v>
      </c>
      <c r="D15">
        <v>0.206</v>
      </c>
      <c r="E15">
        <v>0.206</v>
      </c>
      <c r="F15">
        <v>0.046</v>
      </c>
      <c r="G15">
        <v>0.046</v>
      </c>
      <c r="H15">
        <v>-0.032</v>
      </c>
      <c r="I15">
        <v>-0.032</v>
      </c>
    </row>
    <row r="16" spans="1:9">
      <c r="A16" s="2" t="s">
        <v>12</v>
      </c>
      <c r="B16">
        <v>0.382</v>
      </c>
      <c r="C16">
        <v>0.382</v>
      </c>
      <c r="D16">
        <v>-0.483</v>
      </c>
      <c r="E16">
        <v>-0.483</v>
      </c>
      <c r="F16">
        <v>-0.062</v>
      </c>
      <c r="G16">
        <v>-0.062</v>
      </c>
      <c r="H16">
        <v>0.11</v>
      </c>
      <c r="I16">
        <v>0.11</v>
      </c>
    </row>
    <row r="17" spans="1:9">
      <c r="A17" s="2" t="s">
        <v>13</v>
      </c>
      <c r="B17">
        <v>-0.891</v>
      </c>
      <c r="C17">
        <v>-0.891</v>
      </c>
      <c r="D17">
        <v>-0.842</v>
      </c>
      <c r="E17">
        <v>-0.842</v>
      </c>
      <c r="F17">
        <v>0.838</v>
      </c>
      <c r="G17">
        <v>0.838</v>
      </c>
      <c r="H17">
        <v>0.925</v>
      </c>
      <c r="I17">
        <v>0.925</v>
      </c>
    </row>
    <row r="18" spans="1:9">
      <c r="A18" s="2" t="s">
        <v>14</v>
      </c>
      <c r="B18">
        <v>-0.225</v>
      </c>
      <c r="C18">
        <v>-0.225</v>
      </c>
      <c r="D18">
        <v>0.209</v>
      </c>
      <c r="E18">
        <v>0.209</v>
      </c>
      <c r="F18">
        <v>-0.014</v>
      </c>
      <c r="G18">
        <v>-0.014</v>
      </c>
      <c r="H18">
        <v>-0.012</v>
      </c>
      <c r="I18">
        <v>-0.012</v>
      </c>
    </row>
    <row r="19" spans="1:9">
      <c r="A19" s="2" t="s">
        <v>15</v>
      </c>
      <c r="B19" s="4" cm="1">
        <f t="array" ref="B19:I20">TRANSPOSE([2]NatFreq_Damping_3!D2:E9)</f>
        <v>0.206</v>
      </c>
      <c r="C19" s="4">
        <v>0.206</v>
      </c>
      <c r="D19" s="4">
        <v>0.2119</v>
      </c>
      <c r="E19" s="4">
        <v>0.2119</v>
      </c>
      <c r="F19" s="4">
        <v>0.1804</v>
      </c>
      <c r="G19" s="4">
        <v>0.1804</v>
      </c>
      <c r="H19" s="4">
        <v>0.0082</v>
      </c>
      <c r="I19" s="4">
        <v>0.0082</v>
      </c>
    </row>
    <row r="20" spans="1:9">
      <c r="A20" s="2" t="s">
        <v>16</v>
      </c>
      <c r="B20" s="4">
        <v>0.0016</v>
      </c>
      <c r="C20" s="4">
        <v>0.0016</v>
      </c>
      <c r="D20" s="4">
        <v>0.019</v>
      </c>
      <c r="E20" s="4">
        <v>0.019</v>
      </c>
      <c r="F20" s="4">
        <v>0.0399</v>
      </c>
      <c r="G20" s="4">
        <v>0.0399</v>
      </c>
      <c r="H20" s="4">
        <v>0.2733</v>
      </c>
      <c r="I20" s="4">
        <v>0.2733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A12" sqref="A12"/>
    </sheetView>
  </sheetViews>
  <sheetFormatPr defaultColWidth="8.88888888888889" defaultRowHeight="14.4"/>
  <cols>
    <col min="1" max="1" width="1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18</v>
      </c>
      <c r="B2" s="4">
        <v>0.797</v>
      </c>
      <c r="C2" s="4">
        <v>0.797</v>
      </c>
      <c r="D2" s="4">
        <v>0.385</v>
      </c>
      <c r="E2" s="4">
        <v>0.385</v>
      </c>
      <c r="F2" s="4">
        <v>0.629</v>
      </c>
      <c r="G2" s="4">
        <v>0.629</v>
      </c>
      <c r="H2" s="4">
        <v>-0.055</v>
      </c>
      <c r="I2" s="4">
        <v>-0.055</v>
      </c>
    </row>
    <row r="3" spans="1:9">
      <c r="A3" s="3" t="s">
        <v>19</v>
      </c>
      <c r="B3" s="4">
        <v>-0.096</v>
      </c>
      <c r="C3" s="4">
        <v>-0.096</v>
      </c>
      <c r="D3" s="4">
        <v>-0.872</v>
      </c>
      <c r="E3" s="4">
        <v>-0.872</v>
      </c>
      <c r="F3" s="4">
        <v>-0.576</v>
      </c>
      <c r="G3" s="4">
        <v>-0.576</v>
      </c>
      <c r="H3" s="4">
        <v>-0.14</v>
      </c>
      <c r="I3" s="4">
        <v>-0.14</v>
      </c>
    </row>
    <row r="4" spans="1:9">
      <c r="A4" s="3" t="s">
        <v>20</v>
      </c>
      <c r="B4" s="4">
        <v>-0.614</v>
      </c>
      <c r="C4" s="4">
        <v>-0.614</v>
      </c>
      <c r="D4" s="4">
        <v>-0.316</v>
      </c>
      <c r="E4" s="4">
        <v>-0.316</v>
      </c>
      <c r="F4" s="4">
        <v>-0.548</v>
      </c>
      <c r="G4" s="4">
        <v>-0.548</v>
      </c>
      <c r="H4" s="4">
        <v>0.06</v>
      </c>
      <c r="I4" s="4">
        <v>0.06</v>
      </c>
    </row>
    <row r="5" spans="1:9">
      <c r="A5" s="3" t="s">
        <v>21</v>
      </c>
      <c r="B5" s="4">
        <v>0.836</v>
      </c>
      <c r="C5" s="4">
        <v>0.836</v>
      </c>
      <c r="D5" s="4">
        <v>0.384</v>
      </c>
      <c r="E5" s="4">
        <v>0.384</v>
      </c>
      <c r="F5" s="4">
        <v>0.651</v>
      </c>
      <c r="G5" s="4">
        <v>0.651</v>
      </c>
      <c r="H5" s="4">
        <v>-0.101</v>
      </c>
      <c r="I5" s="4">
        <v>-0.101</v>
      </c>
    </row>
    <row r="6" spans="1:9">
      <c r="A6" s="3" t="s">
        <v>22</v>
      </c>
      <c r="B6" s="4">
        <v>-0.146</v>
      </c>
      <c r="C6" s="4">
        <v>-0.146</v>
      </c>
      <c r="D6" s="4">
        <v>-0.861</v>
      </c>
      <c r="E6" s="4">
        <v>-0.861</v>
      </c>
      <c r="F6" s="4">
        <v>-0.602</v>
      </c>
      <c r="G6" s="4">
        <v>-0.602</v>
      </c>
      <c r="H6" s="4">
        <v>-0.97</v>
      </c>
      <c r="I6" s="4">
        <v>-0.97</v>
      </c>
    </row>
    <row r="7" spans="1:9">
      <c r="A7" s="3" t="s">
        <v>23</v>
      </c>
      <c r="B7" s="4">
        <v>-0.507</v>
      </c>
      <c r="C7" s="4">
        <v>-0.507</v>
      </c>
      <c r="D7" s="4">
        <v>-0.206</v>
      </c>
      <c r="E7" s="4">
        <v>-0.206</v>
      </c>
      <c r="F7" s="4">
        <v>-0.427</v>
      </c>
      <c r="G7" s="4">
        <v>-0.427</v>
      </c>
      <c r="H7" s="4">
        <v>-0.016</v>
      </c>
      <c r="I7" s="4">
        <v>-0.016</v>
      </c>
    </row>
    <row r="8" spans="1:9">
      <c r="A8" s="2" t="s">
        <v>15</v>
      </c>
      <c r="B8" s="4" cm="1">
        <f t="array" ref="B8:I9">TRANSPOSE([4]NatFreq_Damping_5!D2:E9)</f>
        <v>0.2226</v>
      </c>
      <c r="C8" s="4">
        <v>0.2226</v>
      </c>
      <c r="D8" s="4">
        <v>0.2071</v>
      </c>
      <c r="E8" s="4">
        <v>0.2071</v>
      </c>
      <c r="F8" s="4">
        <v>0.2142</v>
      </c>
      <c r="G8" s="4">
        <v>0.2142</v>
      </c>
      <c r="H8" s="4">
        <v>0.0039</v>
      </c>
      <c r="I8" s="4">
        <v>0.0039</v>
      </c>
    </row>
    <row r="9" spans="1:9">
      <c r="A9" s="2" t="s">
        <v>16</v>
      </c>
      <c r="B9" s="4">
        <v>0.0016</v>
      </c>
      <c r="C9" s="4">
        <v>0.0016</v>
      </c>
      <c r="D9" s="4">
        <v>0.0038</v>
      </c>
      <c r="E9" s="4">
        <v>0.0038</v>
      </c>
      <c r="F9" s="4">
        <v>0.004</v>
      </c>
      <c r="G9" s="4">
        <v>0.004</v>
      </c>
      <c r="H9" s="4">
        <v>0.0971</v>
      </c>
      <c r="I9" s="4">
        <v>0.0971</v>
      </c>
    </row>
    <row r="12" spans="1:9">
      <c r="A12" s="1" t="s">
        <v>17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>
      <c r="A13" s="3" t="s">
        <v>18</v>
      </c>
      <c r="B13" s="4">
        <v>-0.745</v>
      </c>
      <c r="C13" s="4">
        <v>-0.745</v>
      </c>
      <c r="D13" s="4">
        <v>0.858</v>
      </c>
      <c r="E13" s="4">
        <v>0.858</v>
      </c>
      <c r="F13" s="4">
        <v>0.27</v>
      </c>
      <c r="G13" s="4">
        <v>0.27</v>
      </c>
      <c r="H13" s="4">
        <v>0.069</v>
      </c>
      <c r="I13" s="4">
        <v>0.069</v>
      </c>
    </row>
    <row r="14" spans="1:9">
      <c r="A14" s="3" t="s">
        <v>19</v>
      </c>
      <c r="B14" s="4">
        <v>0.615</v>
      </c>
      <c r="C14" s="4">
        <v>0.615</v>
      </c>
      <c r="D14" s="4">
        <v>-0.4</v>
      </c>
      <c r="E14" s="4">
        <v>-0.4</v>
      </c>
      <c r="F14" s="4">
        <v>0.942</v>
      </c>
      <c r="G14" s="4">
        <v>0.942</v>
      </c>
      <c r="H14" s="4">
        <v>0.19</v>
      </c>
      <c r="I14" s="4">
        <v>0.19</v>
      </c>
    </row>
    <row r="15" spans="1:9">
      <c r="A15" s="3" t="s">
        <v>20</v>
      </c>
      <c r="B15" s="4">
        <v>0.321</v>
      </c>
      <c r="C15" s="4">
        <v>0.321</v>
      </c>
      <c r="D15" s="4">
        <v>-0.374</v>
      </c>
      <c r="E15" s="4">
        <v>-0.374</v>
      </c>
      <c r="F15" s="4">
        <v>-0.058</v>
      </c>
      <c r="G15" s="4">
        <v>-0.058</v>
      </c>
      <c r="H15" s="4">
        <v>-0.023</v>
      </c>
      <c r="I15" s="4">
        <v>-0.023</v>
      </c>
    </row>
    <row r="16" spans="1:9">
      <c r="A16" s="3" t="s">
        <v>21</v>
      </c>
      <c r="B16" s="4">
        <v>-0.75</v>
      </c>
      <c r="C16" s="4">
        <v>-0.75</v>
      </c>
      <c r="D16" s="4">
        <v>0.867</v>
      </c>
      <c r="E16" s="4">
        <v>0.867</v>
      </c>
      <c r="F16" s="4">
        <v>0.268</v>
      </c>
      <c r="G16" s="4">
        <v>0.268</v>
      </c>
      <c r="H16" s="4">
        <v>0.137</v>
      </c>
      <c r="I16" s="4">
        <v>0.137</v>
      </c>
    </row>
    <row r="17" spans="1:9">
      <c r="A17" s="3" t="s">
        <v>22</v>
      </c>
      <c r="B17" s="4">
        <v>0.599</v>
      </c>
      <c r="C17" s="4">
        <v>0.599</v>
      </c>
      <c r="D17" s="4">
        <v>-0.379</v>
      </c>
      <c r="E17" s="4">
        <v>-0.379</v>
      </c>
      <c r="F17" s="4">
        <v>0.738</v>
      </c>
      <c r="G17" s="4">
        <v>0.738</v>
      </c>
      <c r="H17" s="4">
        <v>0.933</v>
      </c>
      <c r="I17" s="4">
        <v>0.933</v>
      </c>
    </row>
    <row r="18" spans="1:9">
      <c r="A18" s="3" t="s">
        <v>23</v>
      </c>
      <c r="B18" s="4">
        <v>0.294</v>
      </c>
      <c r="C18" s="4">
        <v>0.294</v>
      </c>
      <c r="D18" s="4">
        <v>-0.343</v>
      </c>
      <c r="E18" s="4">
        <v>-0.343</v>
      </c>
      <c r="F18" s="4">
        <v>-0.077</v>
      </c>
      <c r="G18" s="4">
        <v>-0.077</v>
      </c>
      <c r="H18" s="4">
        <v>0.002</v>
      </c>
      <c r="I18" s="4">
        <v>0.002</v>
      </c>
    </row>
    <row r="19" spans="1:9">
      <c r="A19" s="2" t="s">
        <v>15</v>
      </c>
      <c r="B19" s="4" cm="1">
        <f t="array" ref="B19:I20">TRANSPOSE([5]NatFreq_Damping_6!D2:E9)</f>
        <v>0.2058</v>
      </c>
      <c r="C19" s="4">
        <v>0.2058</v>
      </c>
      <c r="D19" s="4">
        <v>0.2103</v>
      </c>
      <c r="E19" s="4">
        <v>0.2103</v>
      </c>
      <c r="F19" s="4">
        <v>0.179</v>
      </c>
      <c r="G19" s="4">
        <v>0.179</v>
      </c>
      <c r="H19" s="4">
        <v>0.0096</v>
      </c>
      <c r="I19" s="4">
        <v>0.0096</v>
      </c>
    </row>
    <row r="20" spans="1:9">
      <c r="A20" s="2" t="s">
        <v>16</v>
      </c>
      <c r="B20" s="4">
        <v>0.0027</v>
      </c>
      <c r="C20" s="4">
        <v>0.0027</v>
      </c>
      <c r="D20" s="4">
        <v>0.0227</v>
      </c>
      <c r="E20" s="4">
        <v>0.0227</v>
      </c>
      <c r="F20" s="4">
        <v>0.0236</v>
      </c>
      <c r="G20" s="4">
        <v>0.0236</v>
      </c>
      <c r="H20" s="4">
        <v>0.3011</v>
      </c>
      <c r="I20" s="4">
        <v>0.3011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A12" sqref="A12"/>
    </sheetView>
  </sheetViews>
  <sheetFormatPr defaultColWidth="9" defaultRowHeight="14.4"/>
  <cols>
    <col min="1" max="1" width="1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24</v>
      </c>
      <c r="B2">
        <v>-0.771</v>
      </c>
      <c r="C2">
        <v>-0.771</v>
      </c>
      <c r="D2">
        <v>0.722</v>
      </c>
      <c r="E2">
        <v>0.722</v>
      </c>
      <c r="F2">
        <v>0.831</v>
      </c>
      <c r="G2">
        <v>0.831</v>
      </c>
      <c r="H2">
        <v>-0.055</v>
      </c>
      <c r="I2">
        <v>-0.055</v>
      </c>
    </row>
    <row r="3" spans="1:9">
      <c r="A3" s="2" t="s">
        <v>25</v>
      </c>
      <c r="B3">
        <v>-0.399</v>
      </c>
      <c r="C3">
        <v>-0.399</v>
      </c>
      <c r="D3">
        <v>-0.517</v>
      </c>
      <c r="E3">
        <v>-0.517</v>
      </c>
      <c r="F3">
        <v>-0.119</v>
      </c>
      <c r="G3">
        <v>-0.119</v>
      </c>
      <c r="H3">
        <v>-0.139</v>
      </c>
      <c r="I3">
        <v>-0.139</v>
      </c>
    </row>
    <row r="4" spans="1:9">
      <c r="A4" s="2" t="s">
        <v>26</v>
      </c>
      <c r="B4">
        <v>0.501</v>
      </c>
      <c r="C4">
        <v>0.501</v>
      </c>
      <c r="D4">
        <v>-0.463</v>
      </c>
      <c r="E4">
        <v>-0.463</v>
      </c>
      <c r="F4">
        <v>-0.552</v>
      </c>
      <c r="G4">
        <v>-0.552</v>
      </c>
      <c r="H4">
        <v>0.052</v>
      </c>
      <c r="I4">
        <v>0.052</v>
      </c>
    </row>
    <row r="5" spans="1:9">
      <c r="A5" s="2" t="s">
        <v>27</v>
      </c>
      <c r="B5">
        <v>-0.821</v>
      </c>
      <c r="C5">
        <v>-0.821</v>
      </c>
      <c r="D5">
        <v>0.761</v>
      </c>
      <c r="E5">
        <v>0.761</v>
      </c>
      <c r="F5">
        <v>0.883</v>
      </c>
      <c r="G5">
        <v>0.883</v>
      </c>
      <c r="H5">
        <v>-0.122</v>
      </c>
      <c r="I5">
        <v>-0.122</v>
      </c>
    </row>
    <row r="6" spans="1:9">
      <c r="A6" s="2" t="s">
        <v>28</v>
      </c>
      <c r="B6">
        <v>-0.364</v>
      </c>
      <c r="C6">
        <v>-0.364</v>
      </c>
      <c r="D6">
        <v>-0.54</v>
      </c>
      <c r="E6">
        <v>-0.54</v>
      </c>
      <c r="F6">
        <v>-0.158</v>
      </c>
      <c r="G6">
        <v>-0.158</v>
      </c>
      <c r="H6">
        <v>-0.969</v>
      </c>
      <c r="I6">
        <v>-0.969</v>
      </c>
    </row>
    <row r="7" spans="1:9">
      <c r="A7" s="2" t="s">
        <v>29</v>
      </c>
      <c r="B7">
        <v>0.466</v>
      </c>
      <c r="C7">
        <v>0.466</v>
      </c>
      <c r="D7">
        <v>-0.383</v>
      </c>
      <c r="E7">
        <v>-0.383</v>
      </c>
      <c r="F7">
        <v>-0.484</v>
      </c>
      <c r="G7">
        <v>-0.484</v>
      </c>
      <c r="H7">
        <v>-0.019</v>
      </c>
      <c r="I7">
        <v>-0.019</v>
      </c>
    </row>
    <row r="8" spans="1:9">
      <c r="A8" s="2" t="s">
        <v>15</v>
      </c>
      <c r="B8">
        <v>0.2225</v>
      </c>
      <c r="C8">
        <v>0.2225</v>
      </c>
      <c r="D8">
        <v>0.2071</v>
      </c>
      <c r="E8">
        <v>0.2071</v>
      </c>
      <c r="F8">
        <v>0.214</v>
      </c>
      <c r="G8">
        <v>0.214</v>
      </c>
      <c r="H8">
        <v>0.004</v>
      </c>
      <c r="I8">
        <v>0.004</v>
      </c>
    </row>
    <row r="9" spans="1:9">
      <c r="A9" s="2" t="s">
        <v>16</v>
      </c>
      <c r="B9">
        <v>0.0011</v>
      </c>
      <c r="C9">
        <v>0.0011</v>
      </c>
      <c r="D9">
        <v>0.0043</v>
      </c>
      <c r="E9">
        <v>0.0043</v>
      </c>
      <c r="F9">
        <v>0.0043</v>
      </c>
      <c r="G9">
        <v>0.0043</v>
      </c>
      <c r="H9">
        <v>0.1215</v>
      </c>
      <c r="I9">
        <v>0.1215</v>
      </c>
    </row>
    <row r="12" spans="1:9">
      <c r="A12" s="1" t="s">
        <v>17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>
      <c r="A13" s="3" t="s">
        <v>24</v>
      </c>
      <c r="B13" s="4">
        <v>-0.878</v>
      </c>
      <c r="C13" s="4">
        <v>-0.878</v>
      </c>
      <c r="D13" s="4">
        <v>0.477</v>
      </c>
      <c r="E13" s="4">
        <v>0.477</v>
      </c>
      <c r="F13" s="4">
        <v>-0.261</v>
      </c>
      <c r="G13" s="4">
        <v>-0.261</v>
      </c>
      <c r="H13" s="4">
        <v>0.064</v>
      </c>
      <c r="I13" s="4">
        <v>0.064</v>
      </c>
    </row>
    <row r="14" spans="1:9">
      <c r="A14" s="3" t="s">
        <v>25</v>
      </c>
      <c r="B14" s="4">
        <v>0.147</v>
      </c>
      <c r="C14" s="4">
        <v>0.147</v>
      </c>
      <c r="D14" s="4">
        <v>0.844</v>
      </c>
      <c r="E14" s="4">
        <v>0.844</v>
      </c>
      <c r="F14" s="4">
        <v>-0.939</v>
      </c>
      <c r="G14" s="4">
        <v>-0.939</v>
      </c>
      <c r="H14" s="4">
        <v>0.145</v>
      </c>
      <c r="I14" s="4">
        <v>0.145</v>
      </c>
    </row>
    <row r="15" spans="1:9">
      <c r="A15" s="3" t="s">
        <v>26</v>
      </c>
      <c r="B15" s="4">
        <v>0.495</v>
      </c>
      <c r="C15" s="4">
        <v>0.495</v>
      </c>
      <c r="D15" s="4">
        <v>-0.224</v>
      </c>
      <c r="E15" s="4">
        <v>-0.224</v>
      </c>
      <c r="F15" s="4">
        <v>0.046</v>
      </c>
      <c r="G15" s="4">
        <v>0.046</v>
      </c>
      <c r="H15" s="4">
        <v>-0.03</v>
      </c>
      <c r="I15" s="4">
        <v>-0.03</v>
      </c>
    </row>
    <row r="16" spans="1:9">
      <c r="A16" s="3" t="s">
        <v>27</v>
      </c>
      <c r="B16" s="4">
        <v>-0.895</v>
      </c>
      <c r="C16" s="4">
        <v>-0.895</v>
      </c>
      <c r="D16" s="4">
        <v>0.492</v>
      </c>
      <c r="E16" s="4">
        <v>0.492</v>
      </c>
      <c r="F16" s="4">
        <v>-0.266</v>
      </c>
      <c r="G16" s="4">
        <v>-0.266</v>
      </c>
      <c r="H16" s="4">
        <v>0.12</v>
      </c>
      <c r="I16" s="4">
        <v>0.12</v>
      </c>
    </row>
    <row r="17" spans="1:9">
      <c r="A17" s="3" t="s">
        <v>28</v>
      </c>
      <c r="B17" s="4">
        <v>0.168</v>
      </c>
      <c r="C17" s="4">
        <v>0.168</v>
      </c>
      <c r="D17" s="4">
        <v>0.831</v>
      </c>
      <c r="E17" s="4">
        <v>0.831</v>
      </c>
      <c r="F17" s="4">
        <v>-0.609</v>
      </c>
      <c r="G17" s="4">
        <v>-0.609</v>
      </c>
      <c r="H17" s="4">
        <v>0.935</v>
      </c>
      <c r="I17" s="4">
        <v>0.935</v>
      </c>
    </row>
    <row r="18" spans="1:9">
      <c r="A18" s="3" t="s">
        <v>29</v>
      </c>
      <c r="B18" s="4">
        <v>0.426</v>
      </c>
      <c r="C18" s="4">
        <v>0.426</v>
      </c>
      <c r="D18" s="4">
        <v>-0.229</v>
      </c>
      <c r="E18" s="4">
        <v>-0.229</v>
      </c>
      <c r="F18" s="4">
        <v>0.13</v>
      </c>
      <c r="G18" s="4">
        <v>0.13</v>
      </c>
      <c r="H18" s="4">
        <v>-0.019</v>
      </c>
      <c r="I18" s="4">
        <v>-0.019</v>
      </c>
    </row>
    <row r="19" spans="1:9">
      <c r="A19" s="2" t="s">
        <v>15</v>
      </c>
      <c r="B19" s="4" cm="1">
        <f t="array" ref="B19:I20">TRANSPOSE([1]NatFreq_Damping_2!D2:E9)</f>
        <v>0.206</v>
      </c>
      <c r="C19" s="4">
        <v>0.206</v>
      </c>
      <c r="D19" s="4">
        <v>0.2103</v>
      </c>
      <c r="E19" s="4">
        <v>0.2103</v>
      </c>
      <c r="F19" s="4">
        <v>0.1766</v>
      </c>
      <c r="G19" s="4">
        <v>0.1766</v>
      </c>
      <c r="H19" s="4">
        <v>0.0085</v>
      </c>
      <c r="I19" s="4">
        <v>0.0085</v>
      </c>
    </row>
    <row r="20" spans="1:9">
      <c r="A20" s="2" t="s">
        <v>16</v>
      </c>
      <c r="B20" s="4">
        <v>0.003</v>
      </c>
      <c r="C20" s="4">
        <v>0.003</v>
      </c>
      <c r="D20" s="4">
        <v>0.0293</v>
      </c>
      <c r="E20" s="4">
        <v>0.0293</v>
      </c>
      <c r="F20" s="4">
        <v>0.0133</v>
      </c>
      <c r="G20" s="4">
        <v>0.0133</v>
      </c>
      <c r="H20" s="4">
        <v>0.2744</v>
      </c>
      <c r="I20" s="4">
        <v>0.2744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Mode_Shapes_B1</vt:lpstr>
      <vt:lpstr>Mode_Shapes_B2</vt:lpstr>
      <vt:lpstr>Mode_Shapes_B3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raunak Jss</cp:lastModifiedBy>
  <dcterms:created xsi:type="dcterms:W3CDTF">2025-11-15T19:52:00Z</dcterms:created>
  <dcterms:modified xsi:type="dcterms:W3CDTF">2025-11-16T12:37:07Z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19C91854867F4E04AD21CB14428597A8_12</vt:lpwstr>
  </property>
  <property fmtid="{D5CDD505-2E9C-101B-9397-08002B2CF9AE}" pid="3" name="KSOProductBuildVer">
    <vt:lpwstr>1033-12.2.0.23155</vt:lpwstr>
  </property>
</Properties>
</file>